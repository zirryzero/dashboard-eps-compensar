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d8c7cc3fe78c43/Escritorio/"/>
    </mc:Choice>
  </mc:AlternateContent>
  <xr:revisionPtr revIDLastSave="0" documentId="8_{AF500891-1761-467A-8C16-774232BF91FF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Legalización Internacional" sheetId="1" r:id="rId1"/>
  </sheets>
  <definedNames>
    <definedName name="_xlnm.Print_Titles" localSheetId="0">'Legalización Internacional'!$1:$10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27" i="1"/>
  <c r="I25" i="1" l="1"/>
  <c r="J24" i="1"/>
  <c r="I31" i="1" l="1"/>
  <c r="I37" i="1"/>
  <c r="I43" i="1"/>
  <c r="J39" i="1"/>
  <c r="J40" i="1"/>
  <c r="J41" i="1"/>
  <c r="J42" i="1"/>
  <c r="J38" i="1"/>
  <c r="J33" i="1"/>
  <c r="J34" i="1"/>
  <c r="J35" i="1"/>
  <c r="J36" i="1"/>
  <c r="J28" i="1"/>
  <c r="J29" i="1"/>
  <c r="J30" i="1"/>
  <c r="J26" i="1"/>
  <c r="J21" i="1"/>
  <c r="J22" i="1"/>
  <c r="J25" i="1" l="1"/>
  <c r="J31" i="1"/>
  <c r="I44" i="1"/>
  <c r="J43" i="1"/>
  <c r="J37" i="1"/>
  <c r="J44" i="1" l="1"/>
  <c r="J47" i="1" s="1"/>
  <c r="J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MOYANO</author>
    <author>CALIDAD</author>
  </authors>
  <commentList>
    <comment ref="I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Esta informacion no debe ser modificada por el trabajador
</t>
        </r>
      </text>
    </comment>
    <comment ref="D11" authorId="0" shapeId="0" xr:uid="{00000000-0006-0000-0000-000002000000}">
      <text>
        <r>
          <rPr>
            <sz val="9"/>
            <color indexed="81"/>
            <rFont val="Tahoma"/>
            <family val="2"/>
          </rPr>
          <t>En este espacio se diligencia el nombre del funcionario que va a legalizar el anticipo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se escribe el cargo que ocupa el funcionario 
</t>
        </r>
      </text>
    </comment>
    <comment ref="C13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se especifica el Asunto o Motivo por el cual se realizo el viaje (Ejemplo. Inspecciones Bodegas, Siniestros, etc.)
</t>
        </r>
      </text>
    </comment>
    <comment ref="C15" authorId="0" shapeId="0" xr:uid="{00000000-0006-0000-0000-000005000000}">
      <text>
        <r>
          <rPr>
            <sz val="9"/>
            <color indexed="81"/>
            <rFont val="Tahoma"/>
            <family val="2"/>
          </rPr>
          <t>se especifica el País y Ciudad en el cual se llevara a cabo el viaje.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Se especifica el rango de fecha del viaje, se separa con un guion (-) (ejemp. 1 de enero de 2015- 5 de enero de 2015)
</t>
        </r>
      </text>
    </comment>
    <comment ref="I16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se especifica la TRM con la que se genero el anticipo
</t>
        </r>
      </text>
    </comment>
    <comment ref="I18" authorId="1" shapeId="0" xr:uid="{00000000-0006-0000-0000-000008000000}">
      <text>
        <r>
          <rPr>
            <sz val="9"/>
            <color indexed="81"/>
            <rFont val="Tahoma"/>
            <family val="2"/>
          </rPr>
          <t xml:space="preserve">En caso de no utilizar dinero en dolares coloque el valor en pesos en la casilla de la derecha
</t>
        </r>
      </text>
    </comment>
    <comment ref="E19" authorId="0" shapeId="0" xr:uid="{00000000-0006-0000-0000-000009000000}">
      <text>
        <r>
          <rPr>
            <sz val="9"/>
            <color indexed="81"/>
            <rFont val="Tahoma"/>
            <family val="2"/>
          </rPr>
          <t>Se especifica la fecha en la que se ejecuto dicho gasto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00000000-0006-0000-0000-00000A000000}">
      <text>
        <r>
          <rPr>
            <sz val="9"/>
            <color indexed="81"/>
            <rFont val="Tahoma"/>
            <family val="2"/>
          </rPr>
          <t>Se especifica el trayecto en el que se utilizo el gasto de transporte (ejem. Hotel xxx- ofc. Cliente XXX)</t>
        </r>
      </text>
    </comment>
    <comment ref="I19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En caso de utilizar dolares, especificar el valor de cada trayecto en USD
</t>
        </r>
      </text>
    </comment>
    <comment ref="E26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Se especifica la fecha en la que se ejecuto dicho gasto
</t>
        </r>
      </text>
    </comment>
    <comment ref="F26" authorId="0" shapeId="0" xr:uid="{00000000-0006-0000-0000-00000D000000}">
      <text>
        <r>
          <rPr>
            <sz val="9"/>
            <color indexed="81"/>
            <rFont val="Tahoma"/>
            <family val="2"/>
          </rPr>
          <t>Nombre del hotel (ciudad en la que se encuentra ubicado el mismo) -&gt; (Ejem. Hotel Hilton (Miami))</t>
        </r>
      </text>
    </comment>
    <comment ref="I26" authorId="0" shapeId="0" xr:uid="{00000000-0006-0000-0000-00000E000000}">
      <text>
        <r>
          <rPr>
            <sz val="9"/>
            <color indexed="81"/>
            <rFont val="Tahoma"/>
            <family val="2"/>
          </rPr>
          <t>se especifica el valor total de la estadia en dicho hotel</t>
        </r>
      </text>
    </comment>
    <comment ref="E32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Se especifica la fecha en la que se ejecuto dicho gasto
</t>
        </r>
      </text>
    </comment>
    <comment ref="F32" authorId="0" shapeId="0" xr:uid="{00000000-0006-0000-0000-000010000000}">
      <text>
        <r>
          <rPr>
            <sz val="9"/>
            <color indexed="81"/>
            <rFont val="Tahoma"/>
            <family val="2"/>
          </rPr>
          <t>Se especifica el Concepto al que se hace referencia es decir (Desayuno, Almuerzo o Comida)</t>
        </r>
      </text>
    </comment>
    <comment ref="I32" authorId="0" shapeId="0" xr:uid="{00000000-0006-0000-0000-000011000000}">
      <text>
        <r>
          <rPr>
            <sz val="9"/>
            <color indexed="81"/>
            <rFont val="Tahoma"/>
            <family val="2"/>
          </rPr>
          <t>Se registra el valor real pagado de cada uno de los gastos por alimentacion</t>
        </r>
      </text>
    </comment>
    <comment ref="E38" authorId="0" shapeId="0" xr:uid="{00000000-0006-0000-0000-000012000000}">
      <text>
        <r>
          <rPr>
            <sz val="9"/>
            <color indexed="81"/>
            <rFont val="Tahoma"/>
            <family val="2"/>
          </rPr>
          <t>Se especifica la fecha en la que se ejecuto dicho gasto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00000000-0006-0000-0000-000013000000}">
      <text>
        <r>
          <rPr>
            <sz val="9"/>
            <color indexed="81"/>
            <rFont val="Tahoma"/>
            <family val="2"/>
          </rPr>
          <t>Se escribe el concepto del gasto o imprevisto, en el que se incurrio durante el viaje</t>
        </r>
      </text>
    </comment>
    <comment ref="I38" authorId="0" shapeId="0" xr:uid="{00000000-0006-0000-0000-000014000000}">
      <text>
        <r>
          <rPr>
            <sz val="9"/>
            <color indexed="81"/>
            <rFont val="Tahoma"/>
            <family val="2"/>
          </rPr>
          <t>Se especifica el valor total del gasto o imprevisto anteriormente mencionado</t>
        </r>
      </text>
    </comment>
    <comment ref="J45" authorId="0" shapeId="0" xr:uid="{00000000-0006-0000-0000-000015000000}">
      <text>
        <r>
          <rPr>
            <sz val="9"/>
            <color indexed="81"/>
            <rFont val="Tahoma"/>
            <family val="2"/>
          </rPr>
          <t>Se especifica el valor recibidopor parte del funcionario en el anticipo</t>
        </r>
      </text>
    </comment>
    <comment ref="J47" authorId="0" shapeId="0" xr:uid="{5114C070-5F38-4F87-B2FD-77C0B0546345}">
      <text>
        <r>
          <rPr>
            <sz val="9"/>
            <color indexed="81"/>
            <rFont val="Tahoma"/>
            <family val="2"/>
          </rPr>
          <t>En caso que los gastos totales del viaje sean menores (&lt;) que el anticipo dado, se consigna dicho valor en la cuenta corporativa de CRM Consulting services SAS</t>
        </r>
      </text>
    </comment>
    <comment ref="J48" authorId="0" shapeId="0" xr:uid="{00000000-0006-0000-0000-000016000000}">
      <text>
        <r>
          <rPr>
            <sz val="9"/>
            <color indexed="81"/>
            <rFont val="Tahoma"/>
            <family val="2"/>
          </rPr>
          <t>En caso que los gastos totales del viaje sean menores (&lt;) que el anticipo dado, se consigna dicho valor en la cuenta corporativa de CRM Consulting services SAS</t>
        </r>
      </text>
    </comment>
  </commentList>
</comments>
</file>

<file path=xl/sharedStrings.xml><?xml version="1.0" encoding="utf-8"?>
<sst xmlns="http://schemas.openxmlformats.org/spreadsheetml/2006/main" count="44" uniqueCount="42">
  <si>
    <t>VLR A FAVOR FUNCIONARIO</t>
  </si>
  <si>
    <t>VLR A REEMBOLSAR A CRM</t>
  </si>
  <si>
    <t>VALOR COP</t>
  </si>
  <si>
    <t>VALOR USD</t>
  </si>
  <si>
    <t xml:space="preserve">TOTAL </t>
  </si>
  <si>
    <t>ANTICIPO ENTREGADO</t>
  </si>
  <si>
    <t>TOTAL GASTOS DE VIAJE</t>
  </si>
  <si>
    <t>TOTAL OTROS GASTOS</t>
  </si>
  <si>
    <t>OTROS</t>
  </si>
  <si>
    <t xml:space="preserve">TOTAL ALIMENTACIÓN </t>
  </si>
  <si>
    <t xml:space="preserve">TOTAL ALIMENTACION </t>
  </si>
  <si>
    <t>ALIMENTACIÓN</t>
  </si>
  <si>
    <t>TOTAL HOSPEDAJE</t>
  </si>
  <si>
    <t>HOSPEDAJE</t>
  </si>
  <si>
    <t>TOTAL TRANSPORTE</t>
  </si>
  <si>
    <t>TRANSPORTES</t>
  </si>
  <si>
    <t>DETALLE</t>
  </si>
  <si>
    <t>FECHA</t>
  </si>
  <si>
    <t>CONCEPTO</t>
  </si>
  <si>
    <t>FECHA:</t>
  </si>
  <si>
    <t>LUGAR :</t>
  </si>
  <si>
    <t>MOTIVO:</t>
  </si>
  <si>
    <t>CARGO:</t>
  </si>
  <si>
    <t>FUNCIONARIO:</t>
  </si>
  <si>
    <t>Fecha de vigencia:</t>
  </si>
  <si>
    <t>CRM CONSULTING SERVICES S.A.S</t>
  </si>
  <si>
    <t xml:space="preserve">Código: </t>
  </si>
  <si>
    <t>Versión:</t>
  </si>
  <si>
    <t>CRM-GF-F-08</t>
  </si>
  <si>
    <t>Legalización de gastos internacionales</t>
  </si>
  <si>
    <t>TRM-OTROS</t>
  </si>
  <si>
    <t>Proceso:</t>
  </si>
  <si>
    <t>Gestión Financiera</t>
  </si>
  <si>
    <t>Harold David Perez Ortega</t>
  </si>
  <si>
    <t>Ingeniero De desarrollo</t>
  </si>
  <si>
    <t>Summit</t>
  </si>
  <si>
    <t>Mexico</t>
  </si>
  <si>
    <t>28/08/2022 - 31/08/2022</t>
  </si>
  <si>
    <t xml:space="preserve">Casa - Aeropuerto </t>
  </si>
  <si>
    <t>Aeropuerto - Casa</t>
  </si>
  <si>
    <t>Desayuno Aeropuerto Bogota</t>
  </si>
  <si>
    <t>Almuerzo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</si>
</sst>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&quot;$&quot;\ #,##0.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i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149">
    <xf numFmtId="0" fontId="0" fillId="0" borderId="0" xfId="0"/>
    <xf numFmtId="167" fontId="2" fillId="4" borderId="34" xfId="1" applyNumberFormat="1" applyFont="1" applyFill="1" applyBorder="1" applyAlignment="1" applyProtection="1">
      <alignment horizontal="center"/>
    </xf>
    <xf numFmtId="15" fontId="2" fillId="3" borderId="7" xfId="0" applyNumberFormat="1" applyFont="1" applyFill="1" applyBorder="1" applyAlignment="1">
      <alignment horizontal="left"/>
    </xf>
    <xf numFmtId="15" fontId="2" fillId="3" borderId="5" xfId="0" applyNumberFormat="1" applyFont="1" applyFill="1" applyBorder="1" applyAlignment="1">
      <alignment horizontal="center"/>
    </xf>
    <xf numFmtId="15" fontId="2" fillId="3" borderId="6" xfId="0" applyNumberFormat="1" applyFont="1" applyFill="1" applyBorder="1" applyAlignment="1">
      <alignment horizontal="left"/>
    </xf>
    <xf numFmtId="0" fontId="4" fillId="0" borderId="28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2" fillId="3" borderId="42" xfId="0" applyFont="1" applyFill="1" applyBorder="1" applyAlignment="1">
      <alignment vertical="top"/>
    </xf>
    <xf numFmtId="0" fontId="2" fillId="3" borderId="42" xfId="0" applyFont="1" applyFill="1" applyBorder="1" applyAlignment="1">
      <alignment vertical="top" wrapText="1"/>
    </xf>
    <xf numFmtId="0" fontId="2" fillId="3" borderId="42" xfId="0" applyFont="1" applyFill="1" applyBorder="1" applyAlignment="1">
      <alignment vertical="center"/>
    </xf>
    <xf numFmtId="0" fontId="2" fillId="3" borderId="44" xfId="0" applyFont="1" applyFill="1" applyBorder="1" applyAlignment="1">
      <alignment horizontal="left" vertical="center"/>
    </xf>
    <xf numFmtId="0" fontId="2" fillId="3" borderId="45" xfId="0" applyFont="1" applyFill="1" applyBorder="1" applyAlignment="1">
      <alignment vertical="center"/>
    </xf>
    <xf numFmtId="167" fontId="2" fillId="4" borderId="18" xfId="1" applyNumberFormat="1" applyFont="1" applyFill="1" applyBorder="1" applyAlignment="1" applyProtection="1">
      <alignment horizontal="center"/>
    </xf>
    <xf numFmtId="164" fontId="4" fillId="0" borderId="24" xfId="3" applyFont="1" applyBorder="1" applyAlignment="1" applyProtection="1">
      <alignment horizontal="center" vertical="center" wrapText="1"/>
      <protection locked="0"/>
    </xf>
    <xf numFmtId="168" fontId="4" fillId="0" borderId="31" xfId="3" applyNumberFormat="1" applyFont="1" applyBorder="1" applyAlignment="1" applyProtection="1">
      <alignment horizontal="center" vertical="center" wrapText="1"/>
      <protection locked="0"/>
    </xf>
    <xf numFmtId="168" fontId="4" fillId="0" borderId="24" xfId="3" applyNumberFormat="1" applyFont="1" applyBorder="1" applyAlignment="1" applyProtection="1">
      <alignment horizontal="center" vertical="center" wrapText="1"/>
      <protection locked="0"/>
    </xf>
    <xf numFmtId="15" fontId="2" fillId="3" borderId="50" xfId="0" applyNumberFormat="1" applyFont="1" applyFill="1" applyBorder="1" applyAlignment="1">
      <alignment horizontal="left"/>
    </xf>
    <xf numFmtId="15" fontId="2" fillId="3" borderId="42" xfId="0" applyNumberFormat="1" applyFont="1" applyFill="1" applyBorder="1" applyAlignment="1">
      <alignment horizontal="left"/>
    </xf>
    <xf numFmtId="15" fontId="2" fillId="3" borderId="43" xfId="0" applyNumberFormat="1" applyFont="1" applyFill="1" applyBorder="1" applyAlignment="1">
      <alignment horizontal="left"/>
    </xf>
    <xf numFmtId="167" fontId="2" fillId="4" borderId="14" xfId="1" applyNumberFormat="1" applyFont="1" applyFill="1" applyBorder="1" applyAlignment="1" applyProtection="1">
      <alignment horizontal="center"/>
    </xf>
    <xf numFmtId="164" fontId="4" fillId="0" borderId="29" xfId="3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15" fontId="2" fillId="4" borderId="16" xfId="0" applyNumberFormat="1" applyFont="1" applyFill="1" applyBorder="1" applyAlignment="1">
      <alignment horizontal="center"/>
    </xf>
    <xf numFmtId="15" fontId="2" fillId="4" borderId="35" xfId="0" applyNumberFormat="1" applyFont="1" applyFill="1" applyBorder="1" applyAlignment="1">
      <alignment horizontal="center"/>
    </xf>
    <xf numFmtId="0" fontId="4" fillId="0" borderId="29" xfId="0" applyFont="1" applyBorder="1" applyAlignment="1" applyProtection="1">
      <alignment horizontal="center" vertical="center" wrapText="1"/>
      <protection locked="0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15" fontId="2" fillId="4" borderId="19" xfId="0" applyNumberFormat="1" applyFont="1" applyFill="1" applyBorder="1" applyAlignment="1" applyProtection="1">
      <alignment vertical="center"/>
      <protection locked="0"/>
    </xf>
    <xf numFmtId="15" fontId="2" fillId="4" borderId="17" xfId="0" applyNumberFormat="1" applyFont="1" applyFill="1" applyBorder="1" applyAlignment="1" applyProtection="1">
      <alignment vertical="center"/>
      <protection locked="0"/>
    </xf>
    <xf numFmtId="168" fontId="1" fillId="3" borderId="31" xfId="0" applyNumberFormat="1" applyFont="1" applyFill="1" applyBorder="1" applyAlignment="1" applyProtection="1">
      <alignment vertical="center"/>
      <protection locked="0" hidden="1"/>
    </xf>
    <xf numFmtId="168" fontId="1" fillId="3" borderId="30" xfId="0" applyNumberFormat="1" applyFont="1" applyFill="1" applyBorder="1" applyAlignment="1" applyProtection="1">
      <alignment vertical="center"/>
      <protection locked="0" hidden="1"/>
    </xf>
    <xf numFmtId="168" fontId="1" fillId="3" borderId="22" xfId="0" applyNumberFormat="1" applyFont="1" applyFill="1" applyBorder="1" applyAlignment="1" applyProtection="1">
      <alignment vertical="center"/>
      <protection locked="0" hidden="1"/>
    </xf>
    <xf numFmtId="168" fontId="2" fillId="3" borderId="35" xfId="0" applyNumberFormat="1" applyFont="1" applyFill="1" applyBorder="1" applyAlignment="1" applyProtection="1">
      <alignment vertical="center" wrapText="1"/>
      <protection locked="0" hidden="1"/>
    </xf>
    <xf numFmtId="168" fontId="2" fillId="3" borderId="14" xfId="0" applyNumberFormat="1" applyFont="1" applyFill="1" applyBorder="1" applyAlignment="1" applyProtection="1">
      <alignment vertical="center" wrapText="1"/>
      <protection locked="0" hidden="1"/>
    </xf>
    <xf numFmtId="168" fontId="2" fillId="4" borderId="35" xfId="0" applyNumberFormat="1" applyFont="1" applyFill="1" applyBorder="1" applyAlignment="1" applyProtection="1">
      <alignment vertical="center"/>
      <protection locked="0" hidden="1"/>
    </xf>
    <xf numFmtId="168" fontId="3" fillId="5" borderId="22" xfId="2" applyNumberFormat="1" applyFont="1" applyFill="1" applyBorder="1" applyAlignment="1" applyProtection="1">
      <protection locked="0" hidden="1"/>
    </xf>
    <xf numFmtId="168" fontId="3" fillId="5" borderId="1" xfId="0" applyNumberFormat="1" applyFont="1" applyFill="1" applyBorder="1" applyProtection="1">
      <protection locked="0" hidden="1"/>
    </xf>
    <xf numFmtId="168" fontId="2" fillId="4" borderId="14" xfId="0" applyNumberFormat="1" applyFont="1" applyFill="1" applyBorder="1" applyAlignment="1" applyProtection="1">
      <alignment vertical="center"/>
      <protection locked="0" hidden="1"/>
    </xf>
    <xf numFmtId="168" fontId="2" fillId="6" borderId="1" xfId="3" applyNumberFormat="1" applyFont="1" applyFill="1" applyBorder="1" applyAlignment="1" applyProtection="1">
      <protection locked="0" hidden="1"/>
    </xf>
    <xf numFmtId="168" fontId="2" fillId="6" borderId="4" xfId="0" applyNumberFormat="1" applyFont="1" applyFill="1" applyBorder="1" applyProtection="1">
      <protection locked="0" hidden="1"/>
    </xf>
    <xf numFmtId="164" fontId="1" fillId="2" borderId="8" xfId="0" applyNumberFormat="1" applyFont="1" applyFill="1" applyBorder="1" applyAlignment="1" applyProtection="1">
      <alignment horizontal="center" vertical="center" wrapText="1"/>
      <protection locked="0" hidden="1"/>
    </xf>
    <xf numFmtId="164" fontId="1" fillId="2" borderId="23" xfId="0" applyNumberFormat="1" applyFont="1" applyFill="1" applyBorder="1" applyAlignment="1" applyProtection="1">
      <alignment horizontal="center" vertical="center" wrapText="1"/>
      <protection locked="0" hidden="1"/>
    </xf>
    <xf numFmtId="168" fontId="3" fillId="5" borderId="4" xfId="0" applyNumberFormat="1" applyFont="1" applyFill="1" applyBorder="1" applyProtection="1">
      <protection locked="0" hidden="1"/>
    </xf>
    <xf numFmtId="164" fontId="1" fillId="2" borderId="30" xfId="0" applyNumberFormat="1" applyFont="1" applyFill="1" applyBorder="1" applyAlignment="1" applyProtection="1">
      <alignment horizontal="center" vertical="center" wrapText="1"/>
      <protection locked="0" hidden="1"/>
    </xf>
    <xf numFmtId="164" fontId="1" fillId="2" borderId="30" xfId="3" applyFont="1" applyFill="1" applyBorder="1" applyAlignment="1" applyProtection="1">
      <alignment horizontal="center" vertical="center" wrapText="1"/>
      <protection locked="0" hidden="1"/>
    </xf>
    <xf numFmtId="0" fontId="4" fillId="0" borderId="52" xfId="0" applyFont="1" applyBorder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15" fontId="2" fillId="3" borderId="13" xfId="0" applyNumberFormat="1" applyFont="1" applyFill="1" applyBorder="1" applyAlignment="1">
      <alignment horizontal="center" vertical="center"/>
    </xf>
    <xf numFmtId="15" fontId="2" fillId="3" borderId="20" xfId="0" applyNumberFormat="1" applyFont="1" applyFill="1" applyBorder="1" applyAlignment="1">
      <alignment horizontal="center" vertical="center"/>
    </xf>
    <xf numFmtId="15" fontId="2" fillId="3" borderId="12" xfId="0" applyNumberFormat="1" applyFont="1" applyFill="1" applyBorder="1" applyAlignment="1">
      <alignment horizontal="center" vertical="center"/>
    </xf>
    <xf numFmtId="15" fontId="2" fillId="3" borderId="42" xfId="0" applyNumberFormat="1" applyFont="1" applyFill="1" applyBorder="1" applyAlignment="1">
      <alignment horizontal="center" vertical="center"/>
    </xf>
    <xf numFmtId="15" fontId="2" fillId="3" borderId="0" xfId="0" applyNumberFormat="1" applyFont="1" applyFill="1" applyAlignment="1">
      <alignment horizontal="center" vertical="center"/>
    </xf>
    <xf numFmtId="15" fontId="2" fillId="3" borderId="43" xfId="0" applyNumberFormat="1" applyFont="1" applyFill="1" applyBorder="1" applyAlignment="1">
      <alignment horizontal="center" vertical="center"/>
    </xf>
    <xf numFmtId="15" fontId="2" fillId="3" borderId="44" xfId="0" applyNumberFormat="1" applyFont="1" applyFill="1" applyBorder="1" applyAlignment="1">
      <alignment horizontal="center" vertical="center"/>
    </xf>
    <xf numFmtId="15" fontId="2" fillId="3" borderId="45" xfId="0" applyNumberFormat="1" applyFont="1" applyFill="1" applyBorder="1" applyAlignment="1">
      <alignment horizontal="center" vertical="center"/>
    </xf>
    <xf numFmtId="15" fontId="2" fillId="3" borderId="46" xfId="0" applyNumberFormat="1" applyFont="1" applyFill="1" applyBorder="1" applyAlignment="1">
      <alignment horizontal="center" vertical="center"/>
    </xf>
    <xf numFmtId="168" fontId="1" fillId="3" borderId="45" xfId="0" applyNumberFormat="1" applyFont="1" applyFill="1" applyBorder="1" applyAlignment="1" applyProtection="1">
      <alignment horizontal="center" vertical="center" wrapText="1"/>
      <protection locked="0"/>
    </xf>
    <xf numFmtId="168" fontId="1" fillId="3" borderId="46" xfId="0" applyNumberFormat="1" applyFont="1" applyFill="1" applyBorder="1" applyAlignment="1" applyProtection="1">
      <alignment horizontal="center" vertical="center" wrapText="1"/>
      <protection locked="0"/>
    </xf>
    <xf numFmtId="15" fontId="2" fillId="4" borderId="16" xfId="0" applyNumberFormat="1" applyFont="1" applyFill="1" applyBorder="1" applyAlignment="1">
      <alignment horizontal="center"/>
    </xf>
    <xf numFmtId="15" fontId="2" fillId="4" borderId="35" xfId="0" applyNumberFormat="1" applyFont="1" applyFill="1" applyBorder="1" applyAlignment="1">
      <alignment horizontal="center"/>
    </xf>
    <xf numFmtId="15" fontId="2" fillId="3" borderId="10" xfId="0" applyNumberFormat="1" applyFont="1" applyFill="1" applyBorder="1" applyAlignment="1">
      <alignment horizontal="center" vertical="center"/>
    </xf>
    <xf numFmtId="15" fontId="2" fillId="3" borderId="29" xfId="0" applyNumberFormat="1" applyFont="1" applyFill="1" applyBorder="1" applyAlignment="1">
      <alignment horizontal="center" vertical="center"/>
    </xf>
    <xf numFmtId="15" fontId="2" fillId="3" borderId="9" xfId="0" applyNumberFormat="1" applyFont="1" applyFill="1" applyBorder="1" applyAlignment="1">
      <alignment horizontal="center" vertical="center"/>
    </xf>
    <xf numFmtId="15" fontId="2" fillId="3" borderId="28" xfId="0" applyNumberFormat="1" applyFont="1" applyFill="1" applyBorder="1" applyAlignment="1">
      <alignment horizontal="center" vertical="center"/>
    </xf>
    <xf numFmtId="15" fontId="2" fillId="3" borderId="24" xfId="0" applyNumberFormat="1" applyFont="1" applyFill="1" applyBorder="1" applyAlignment="1">
      <alignment horizontal="center" vertical="center"/>
    </xf>
    <xf numFmtId="15" fontId="2" fillId="3" borderId="27" xfId="0" applyNumberFormat="1" applyFont="1" applyFill="1" applyBorder="1" applyAlignment="1">
      <alignment horizontal="center" vertical="center"/>
    </xf>
    <xf numFmtId="15" fontId="2" fillId="3" borderId="3" xfId="0" applyNumberFormat="1" applyFont="1" applyFill="1" applyBorder="1" applyAlignment="1">
      <alignment horizontal="center" vertical="center"/>
    </xf>
    <xf numFmtId="15" fontId="2" fillId="3" borderId="22" xfId="0" applyNumberFormat="1" applyFont="1" applyFill="1" applyBorder="1" applyAlignment="1">
      <alignment horizontal="center" vertical="center"/>
    </xf>
    <xf numFmtId="15" fontId="2" fillId="3" borderId="2" xfId="0" applyNumberFormat="1" applyFont="1" applyFill="1" applyBorder="1" applyAlignment="1">
      <alignment horizontal="center" vertical="center"/>
    </xf>
    <xf numFmtId="3" fontId="2" fillId="6" borderId="5" xfId="0" applyNumberFormat="1" applyFont="1" applyFill="1" applyBorder="1" applyAlignment="1">
      <alignment horizontal="center"/>
    </xf>
    <xf numFmtId="3" fontId="2" fillId="6" borderId="4" xfId="0" applyNumberFormat="1" applyFont="1" applyFill="1" applyBorder="1" applyAlignment="1">
      <alignment horizontal="center"/>
    </xf>
    <xf numFmtId="0" fontId="4" fillId="0" borderId="27" xfId="0" applyFont="1" applyBorder="1" applyAlignment="1" applyProtection="1">
      <alignment horizontal="center" vertical="center" wrapText="1"/>
      <protection locked="0"/>
    </xf>
    <xf numFmtId="0" fontId="4" fillId="0" borderId="26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1" fillId="3" borderId="26" xfId="0" applyFont="1" applyFill="1" applyBorder="1" applyAlignment="1" applyProtection="1">
      <alignment horizontal="center" vertical="center" wrapText="1"/>
      <protection locked="0"/>
    </xf>
    <xf numFmtId="0" fontId="1" fillId="3" borderId="49" xfId="0" applyFont="1" applyFill="1" applyBorder="1" applyAlignment="1" applyProtection="1">
      <alignment horizontal="center" vertical="center" wrapText="1"/>
      <protection locked="0"/>
    </xf>
    <xf numFmtId="0" fontId="1" fillId="3" borderId="45" xfId="0" applyFont="1" applyFill="1" applyBorder="1" applyAlignment="1" applyProtection="1">
      <alignment horizontal="center" vertical="center" wrapText="1"/>
      <protection locked="0"/>
    </xf>
    <xf numFmtId="3" fontId="2" fillId="4" borderId="15" xfId="0" applyNumberFormat="1" applyFont="1" applyFill="1" applyBorder="1" applyAlignment="1">
      <alignment horizontal="center"/>
    </xf>
    <xf numFmtId="3" fontId="2" fillId="4" borderId="17" xfId="0" applyNumberFormat="1" applyFont="1" applyFill="1" applyBorder="1" applyAlignment="1">
      <alignment horizontal="center"/>
    </xf>
    <xf numFmtId="3" fontId="2" fillId="4" borderId="34" xfId="0" applyNumberFormat="1" applyFont="1" applyFill="1" applyBorder="1" applyAlignment="1">
      <alignment horizontal="center"/>
    </xf>
    <xf numFmtId="0" fontId="4" fillId="0" borderId="52" xfId="0" applyFont="1" applyBorder="1" applyAlignment="1" applyProtection="1">
      <alignment horizontal="center" vertical="center" wrapText="1"/>
      <protection locked="0"/>
    </xf>
    <xf numFmtId="15" fontId="2" fillId="3" borderId="8" xfId="0" applyNumberFormat="1" applyFont="1" applyFill="1" applyBorder="1" applyAlignment="1">
      <alignment horizontal="center" vertical="center"/>
    </xf>
    <xf numFmtId="15" fontId="2" fillId="3" borderId="23" xfId="0" applyNumberFormat="1" applyFont="1" applyFill="1" applyBorder="1" applyAlignment="1">
      <alignment horizontal="center" vertical="center"/>
    </xf>
    <xf numFmtId="15" fontId="2" fillId="3" borderId="53" xfId="0" applyNumberFormat="1" applyFont="1" applyFill="1" applyBorder="1" applyAlignment="1">
      <alignment horizontal="center" vertical="center"/>
    </xf>
    <xf numFmtId="15" fontId="2" fillId="3" borderId="54" xfId="0" applyNumberFormat="1" applyFont="1" applyFill="1" applyBorder="1" applyAlignment="1">
      <alignment horizontal="center" vertical="center"/>
    </xf>
    <xf numFmtId="15" fontId="2" fillId="3" borderId="55" xfId="0" applyNumberFormat="1" applyFont="1" applyFill="1" applyBorder="1" applyAlignment="1">
      <alignment horizontal="center" vertical="center"/>
    </xf>
    <xf numFmtId="15" fontId="2" fillId="3" borderId="1" xfId="0" applyNumberFormat="1" applyFont="1" applyFill="1" applyBorder="1" applyAlignment="1">
      <alignment horizontal="center" vertical="center"/>
    </xf>
    <xf numFmtId="3" fontId="2" fillId="6" borderId="21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5" fontId="1" fillId="3" borderId="5" xfId="0" applyNumberFormat="1" applyFont="1" applyFill="1" applyBorder="1" applyAlignment="1" applyProtection="1">
      <alignment horizontal="center" vertical="center"/>
      <protection locked="0"/>
    </xf>
    <xf numFmtId="15" fontId="1" fillId="3" borderId="4" xfId="0" applyNumberFormat="1" applyFont="1" applyFill="1" applyBorder="1" applyAlignment="1" applyProtection="1">
      <alignment horizontal="center" vertical="center"/>
      <protection locked="0"/>
    </xf>
    <xf numFmtId="15" fontId="2" fillId="4" borderId="19" xfId="0" applyNumberFormat="1" applyFont="1" applyFill="1" applyBorder="1" applyAlignment="1">
      <alignment horizontal="left" vertical="top"/>
    </xf>
    <xf numFmtId="15" fontId="2" fillId="4" borderId="17" xfId="0" applyNumberFormat="1" applyFont="1" applyFill="1" applyBorder="1" applyAlignment="1">
      <alignment horizontal="left" vertical="top"/>
    </xf>
    <xf numFmtId="15" fontId="2" fillId="4" borderId="18" xfId="0" applyNumberFormat="1" applyFont="1" applyFill="1" applyBorder="1" applyAlignment="1">
      <alignment horizontal="left" vertical="top"/>
    </xf>
    <xf numFmtId="15" fontId="2" fillId="4" borderId="19" xfId="0" applyNumberFormat="1" applyFont="1" applyFill="1" applyBorder="1" applyAlignment="1">
      <alignment vertical="center"/>
    </xf>
    <xf numFmtId="15" fontId="2" fillId="4" borderId="17" xfId="0" applyNumberFormat="1" applyFont="1" applyFill="1" applyBorder="1" applyAlignment="1">
      <alignment vertical="center"/>
    </xf>
    <xf numFmtId="15" fontId="2" fillId="4" borderId="18" xfId="0" applyNumberFormat="1" applyFont="1" applyFill="1" applyBorder="1" applyAlignment="1">
      <alignment vertical="center"/>
    </xf>
    <xf numFmtId="15" fontId="2" fillId="4" borderId="17" xfId="0" applyNumberFormat="1" applyFont="1" applyFill="1" applyBorder="1" applyAlignment="1" applyProtection="1">
      <alignment horizontal="center"/>
      <protection locked="0"/>
    </xf>
    <xf numFmtId="15" fontId="1" fillId="3" borderId="51" xfId="0" applyNumberFormat="1" applyFont="1" applyFill="1" applyBorder="1" applyAlignment="1" applyProtection="1">
      <alignment horizontal="center" vertical="center"/>
      <protection locked="0"/>
    </xf>
    <xf numFmtId="15" fontId="1" fillId="3" borderId="32" xfId="0" applyNumberFormat="1" applyFont="1" applyFill="1" applyBorder="1" applyAlignment="1" applyProtection="1">
      <alignment horizontal="center" vertical="center"/>
      <protection locked="0"/>
    </xf>
    <xf numFmtId="15" fontId="2" fillId="3" borderId="19" xfId="0" applyNumberFormat="1" applyFont="1" applyFill="1" applyBorder="1" applyAlignment="1">
      <alignment horizontal="center" vertical="center"/>
    </xf>
    <xf numFmtId="15" fontId="2" fillId="3" borderId="17" xfId="0" applyNumberFormat="1" applyFont="1" applyFill="1" applyBorder="1" applyAlignment="1">
      <alignment horizontal="center" vertical="center"/>
    </xf>
    <xf numFmtId="0" fontId="1" fillId="3" borderId="51" xfId="0" applyFont="1" applyFill="1" applyBorder="1" applyAlignment="1" applyProtection="1">
      <alignment horizontal="center" vertical="center" wrapText="1"/>
      <protection locked="0"/>
    </xf>
    <xf numFmtId="0" fontId="1" fillId="3" borderId="32" xfId="0" applyFont="1" applyFill="1" applyBorder="1" applyAlignment="1" applyProtection="1">
      <alignment horizontal="center" vertical="center" wrapText="1"/>
      <protection locked="0"/>
    </xf>
    <xf numFmtId="0" fontId="1" fillId="3" borderId="48" xfId="0" applyFont="1" applyFill="1" applyBorder="1" applyAlignment="1" applyProtection="1">
      <alignment horizontal="center" vertical="center" wrapText="1"/>
      <protection locked="0"/>
    </xf>
    <xf numFmtId="0" fontId="6" fillId="2" borderId="39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1" fillId="3" borderId="11" xfId="0" applyFont="1" applyFill="1" applyBorder="1" applyAlignment="1" applyProtection="1">
      <alignment horizontal="center" vertical="center" wrapText="1"/>
      <protection locked="0"/>
    </xf>
    <xf numFmtId="0" fontId="1" fillId="3" borderId="47" xfId="0" applyFont="1" applyFill="1" applyBorder="1" applyAlignment="1" applyProtection="1">
      <alignment horizontal="center" vertical="center" wrapText="1"/>
      <protection locked="0"/>
    </xf>
    <xf numFmtId="0" fontId="1" fillId="3" borderId="32" xfId="0" applyFont="1" applyFill="1" applyBorder="1" applyAlignment="1" applyProtection="1">
      <alignment horizontal="center" vertical="center"/>
      <protection locked="0"/>
    </xf>
    <xf numFmtId="0" fontId="1" fillId="3" borderId="48" xfId="0" applyFont="1" applyFill="1" applyBorder="1" applyAlignment="1" applyProtection="1">
      <alignment horizontal="center" vertical="center"/>
      <protection locked="0"/>
    </xf>
    <xf numFmtId="14" fontId="5" fillId="2" borderId="33" xfId="0" applyNumberFormat="1" applyFont="1" applyFill="1" applyBorder="1" applyAlignment="1">
      <alignment horizontal="center" vertical="center"/>
    </xf>
    <xf numFmtId="14" fontId="5" fillId="2" borderId="37" xfId="0" applyNumberFormat="1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left" vertical="center"/>
    </xf>
    <xf numFmtId="0" fontId="7" fillId="2" borderId="38" xfId="0" applyFont="1" applyFill="1" applyBorder="1" applyAlignment="1">
      <alignment horizontal="left" vertical="center"/>
    </xf>
    <xf numFmtId="0" fontId="7" fillId="2" borderId="39" xfId="0" applyFont="1" applyFill="1" applyBorder="1" applyAlignment="1">
      <alignment horizontal="left" vertical="top" wrapText="1"/>
    </xf>
    <xf numFmtId="0" fontId="7" fillId="2" borderId="38" xfId="0" applyFont="1" applyFill="1" applyBorder="1" applyAlignment="1">
      <alignment horizontal="left" vertical="top" wrapText="1"/>
    </xf>
    <xf numFmtId="0" fontId="5" fillId="2" borderId="33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left" vertical="center" wrapText="1"/>
    </xf>
    <xf numFmtId="0" fontId="7" fillId="2" borderId="38" xfId="0" applyFont="1" applyFill="1" applyBorder="1" applyAlignment="1">
      <alignment horizontal="left" vertical="center" wrapText="1"/>
    </xf>
    <xf numFmtId="0" fontId="8" fillId="2" borderId="39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</cellXfs>
  <cellStyles count="4">
    <cellStyle name="Millares" xfId="2" builtinId="3"/>
    <cellStyle name="Moneda" xfId="3" builtinId="4"/>
    <cellStyle name="Moneda_FORMATO LEGALIZACION GASTOS VIAJE" xfId="1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390524</xdr:colOff>
      <xdr:row>1</xdr:row>
      <xdr:rowOff>76199</xdr:rowOff>
    </xdr:from>
    <xdr:to>
      <xdr:col>2</xdr:col>
      <xdr:colOff>358475</xdr:colOff>
      <xdr:row>8</xdr:row>
      <xdr:rowOff>38100</xdr:rowOff>
    </xdr:to>
    <xdr:pic>
      <xdr:nvPicPr>
        <xdr:cNvPr id="2" name="2 Imagen" descr="LOGO_CRM_VERTICAL_RGB-01-0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8649" y="266699"/>
          <a:ext cx="726141" cy="1028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FC49"/>
  <sheetViews>
    <sheetView tabSelected="1" zoomScaleNormal="100" workbookViewId="0">
      <selection activeCell="J46" sqref="J46"/>
    </sheetView>
  </sheetViews>
  <sheetFormatPr baseColWidth="10" defaultColWidth="0" defaultRowHeight="14.4" zeroHeight="1" x14ac:dyDescent="0.3"/>
  <cols>
    <col min="1" max="1" width="2.21875" style="25" customWidth="1"/>
    <col min="2" max="8" width="11.44140625" style="26" customWidth="1"/>
    <col min="9" max="9" width="14.77734375" style="26" bestFit="1" customWidth="1"/>
    <col min="10" max="10" width="16.21875" style="26" bestFit="1" customWidth="1"/>
    <col min="11" max="16383" width="0" style="26" hidden="1"/>
    <col min="16384" max="16384" width="0.44140625" style="25" customWidth="1"/>
  </cols>
  <sheetData>
    <row r="1" spans="2:10" s="25" customFormat="1" x14ac:dyDescent="0.3"/>
    <row r="2" spans="2:10" ht="12" customHeight="1" x14ac:dyDescent="0.3">
      <c r="B2" s="112"/>
      <c r="C2" s="113"/>
      <c r="D2" s="134" t="s">
        <v>25</v>
      </c>
      <c r="E2" s="135"/>
      <c r="F2" s="135"/>
      <c r="G2" s="135"/>
      <c r="H2" s="136"/>
      <c r="I2" s="128" t="s">
        <v>26</v>
      </c>
      <c r="J2" s="129"/>
    </row>
    <row r="3" spans="2:10" ht="12" customHeight="1" x14ac:dyDescent="0.3">
      <c r="B3" s="114"/>
      <c r="C3" s="115"/>
      <c r="D3" s="137"/>
      <c r="E3" s="138"/>
      <c r="F3" s="138"/>
      <c r="G3" s="138"/>
      <c r="H3" s="139"/>
      <c r="I3" s="130" t="s">
        <v>28</v>
      </c>
      <c r="J3" s="131"/>
    </row>
    <row r="4" spans="2:10" ht="12" customHeight="1" x14ac:dyDescent="0.3">
      <c r="B4" s="114"/>
      <c r="C4" s="115"/>
      <c r="D4" s="137"/>
      <c r="E4" s="138"/>
      <c r="F4" s="138"/>
      <c r="G4" s="138"/>
      <c r="H4" s="139"/>
      <c r="I4" s="126" t="s">
        <v>31</v>
      </c>
      <c r="J4" s="127"/>
    </row>
    <row r="5" spans="2:10" ht="12" customHeight="1" x14ac:dyDescent="0.3">
      <c r="B5" s="114"/>
      <c r="C5" s="115"/>
      <c r="D5" s="140"/>
      <c r="E5" s="141"/>
      <c r="F5" s="141"/>
      <c r="G5" s="141"/>
      <c r="H5" s="142"/>
      <c r="I5" s="130" t="s">
        <v>32</v>
      </c>
      <c r="J5" s="131"/>
    </row>
    <row r="6" spans="2:10" ht="12" customHeight="1" x14ac:dyDescent="0.3">
      <c r="B6" s="114"/>
      <c r="C6" s="115"/>
      <c r="D6" s="143" t="s">
        <v>29</v>
      </c>
      <c r="E6" s="144"/>
      <c r="F6" s="144"/>
      <c r="G6" s="144"/>
      <c r="H6" s="145"/>
      <c r="I6" s="132" t="s">
        <v>27</v>
      </c>
      <c r="J6" s="133"/>
    </row>
    <row r="7" spans="2:10" ht="12" customHeight="1" x14ac:dyDescent="0.3">
      <c r="B7" s="114"/>
      <c r="C7" s="115"/>
      <c r="D7" s="143"/>
      <c r="E7" s="144"/>
      <c r="F7" s="144"/>
      <c r="G7" s="144"/>
      <c r="H7" s="145"/>
      <c r="I7" s="130">
        <v>2</v>
      </c>
      <c r="J7" s="131"/>
    </row>
    <row r="8" spans="2:10" ht="12" customHeight="1" x14ac:dyDescent="0.3">
      <c r="B8" s="114"/>
      <c r="C8" s="115"/>
      <c r="D8" s="143"/>
      <c r="E8" s="144"/>
      <c r="F8" s="144"/>
      <c r="G8" s="144"/>
      <c r="H8" s="145"/>
      <c r="I8" s="126" t="s">
        <v>24</v>
      </c>
      <c r="J8" s="127"/>
    </row>
    <row r="9" spans="2:10" ht="12" customHeight="1" x14ac:dyDescent="0.3">
      <c r="B9" s="116"/>
      <c r="C9" s="117"/>
      <c r="D9" s="146"/>
      <c r="E9" s="147"/>
      <c r="F9" s="147"/>
      <c r="G9" s="147"/>
      <c r="H9" s="148"/>
      <c r="I9" s="124">
        <v>42222</v>
      </c>
      <c r="J9" s="125"/>
    </row>
    <row r="10" spans="2:10" s="25" customFormat="1" ht="15" thickBot="1" x14ac:dyDescent="0.35"/>
    <row r="11" spans="2:10" s="25" customFormat="1" x14ac:dyDescent="0.3">
      <c r="B11" s="118" t="s">
        <v>23</v>
      </c>
      <c r="C11" s="119"/>
      <c r="D11" s="120" t="s">
        <v>33</v>
      </c>
      <c r="E11" s="120"/>
      <c r="F11" s="120"/>
      <c r="G11" s="120"/>
      <c r="H11" s="120"/>
      <c r="I11" s="120"/>
      <c r="J11" s="121"/>
    </row>
    <row r="12" spans="2:10" x14ac:dyDescent="0.3">
      <c r="B12" s="7" t="s">
        <v>22</v>
      </c>
      <c r="C12" s="122" t="s">
        <v>34</v>
      </c>
      <c r="D12" s="122"/>
      <c r="E12" s="122"/>
      <c r="F12" s="122"/>
      <c r="G12" s="122"/>
      <c r="H12" s="122"/>
      <c r="I12" s="122"/>
      <c r="J12" s="123"/>
    </row>
    <row r="13" spans="2:10" x14ac:dyDescent="0.3">
      <c r="B13" s="8" t="s">
        <v>21</v>
      </c>
      <c r="C13" s="80" t="s">
        <v>35</v>
      </c>
      <c r="D13" s="80"/>
      <c r="E13" s="80"/>
      <c r="F13" s="80"/>
      <c r="G13" s="80"/>
      <c r="H13" s="80"/>
      <c r="I13" s="80"/>
      <c r="J13" s="81"/>
    </row>
    <row r="14" spans="2:10" x14ac:dyDescent="0.3">
      <c r="B14" s="109"/>
      <c r="C14" s="110"/>
      <c r="D14" s="110"/>
      <c r="E14" s="110"/>
      <c r="F14" s="110"/>
      <c r="G14" s="110"/>
      <c r="H14" s="110"/>
      <c r="I14" s="110"/>
      <c r="J14" s="111"/>
    </row>
    <row r="15" spans="2:10" x14ac:dyDescent="0.3">
      <c r="B15" s="9" t="s">
        <v>20</v>
      </c>
      <c r="C15" s="80" t="s">
        <v>36</v>
      </c>
      <c r="D15" s="80"/>
      <c r="E15" s="80"/>
      <c r="F15" s="80"/>
      <c r="G15" s="80"/>
      <c r="H15" s="80"/>
      <c r="I15" s="80"/>
      <c r="J15" s="81"/>
    </row>
    <row r="16" spans="2:10" ht="15" thickBot="1" x14ac:dyDescent="0.35">
      <c r="B16" s="10" t="s">
        <v>19</v>
      </c>
      <c r="C16" s="82" t="s">
        <v>37</v>
      </c>
      <c r="D16" s="82"/>
      <c r="E16" s="82"/>
      <c r="F16" s="82"/>
      <c r="G16" s="82"/>
      <c r="H16" s="11" t="s">
        <v>30</v>
      </c>
      <c r="I16" s="60">
        <v>4381.62</v>
      </c>
      <c r="J16" s="61"/>
    </row>
    <row r="17" spans="2:10" ht="15" thickBot="1" x14ac:dyDescent="0.35">
      <c r="B17" s="27"/>
      <c r="C17" s="27"/>
      <c r="D17" s="27"/>
      <c r="E17" s="27"/>
      <c r="F17" s="27"/>
      <c r="G17" s="27"/>
      <c r="H17" s="27"/>
      <c r="I17" s="27"/>
      <c r="J17" s="27"/>
    </row>
    <row r="18" spans="2:10" ht="15" thickBot="1" x14ac:dyDescent="0.35">
      <c r="B18" s="62" t="s">
        <v>18</v>
      </c>
      <c r="C18" s="63"/>
      <c r="D18" s="63"/>
      <c r="E18" s="23" t="s">
        <v>17</v>
      </c>
      <c r="F18" s="83" t="s">
        <v>16</v>
      </c>
      <c r="G18" s="84"/>
      <c r="H18" s="85"/>
      <c r="I18" s="1" t="s">
        <v>3</v>
      </c>
      <c r="J18" s="12" t="s">
        <v>2</v>
      </c>
    </row>
    <row r="19" spans="2:10" ht="15" customHeight="1" x14ac:dyDescent="0.3">
      <c r="B19" s="64" t="s">
        <v>15</v>
      </c>
      <c r="C19" s="65"/>
      <c r="D19" s="87"/>
      <c r="E19" s="48"/>
      <c r="F19" s="77" t="s">
        <v>38</v>
      </c>
      <c r="G19" s="78"/>
      <c r="H19" s="86"/>
      <c r="I19" s="14"/>
      <c r="J19" s="45">
        <v>28717</v>
      </c>
    </row>
    <row r="20" spans="2:10" ht="15" customHeight="1" x14ac:dyDescent="0.3">
      <c r="B20" s="67"/>
      <c r="C20" s="68"/>
      <c r="D20" s="88"/>
      <c r="E20" s="47"/>
      <c r="F20" s="75" t="s">
        <v>39</v>
      </c>
      <c r="G20" s="76"/>
      <c r="H20" s="79"/>
      <c r="I20" s="15"/>
      <c r="J20" s="45">
        <v>33457</v>
      </c>
    </row>
    <row r="21" spans="2:10" ht="15" customHeight="1" x14ac:dyDescent="0.3">
      <c r="B21" s="67"/>
      <c r="C21" s="68"/>
      <c r="D21" s="88"/>
      <c r="E21" s="47"/>
      <c r="F21" s="75"/>
      <c r="G21" s="76"/>
      <c r="H21" s="79"/>
      <c r="I21" s="15"/>
      <c r="J21" s="45">
        <f t="shared" ref="J20:J23" si="0">I21*$I$16</f>
        <v>0</v>
      </c>
    </row>
    <row r="22" spans="2:10" ht="15" customHeight="1" x14ac:dyDescent="0.3">
      <c r="B22" s="67"/>
      <c r="C22" s="68"/>
      <c r="D22" s="88"/>
      <c r="E22" s="47"/>
      <c r="F22" s="75"/>
      <c r="G22" s="76"/>
      <c r="H22" s="79"/>
      <c r="I22" s="15"/>
      <c r="J22" s="45">
        <f t="shared" si="0"/>
        <v>0</v>
      </c>
    </row>
    <row r="23" spans="2:10" ht="15" customHeight="1" x14ac:dyDescent="0.3">
      <c r="B23" s="67"/>
      <c r="C23" s="68"/>
      <c r="D23" s="88"/>
      <c r="E23" s="47"/>
      <c r="F23" s="75"/>
      <c r="G23" s="76"/>
      <c r="H23" s="79"/>
      <c r="I23" s="15"/>
      <c r="J23" s="45">
        <f t="shared" si="0"/>
        <v>0</v>
      </c>
    </row>
    <row r="24" spans="2:10" ht="15" customHeight="1" x14ac:dyDescent="0.3">
      <c r="B24" s="89"/>
      <c r="C24" s="90"/>
      <c r="D24" s="91"/>
      <c r="E24" s="47"/>
      <c r="F24" s="75"/>
      <c r="G24" s="76"/>
      <c r="H24" s="79"/>
      <c r="I24" s="15"/>
      <c r="J24" s="45">
        <f t="shared" ref="J24" si="1">I24*$I$16</f>
        <v>0</v>
      </c>
    </row>
    <row r="25" spans="2:10" ht="15" thickBot="1" x14ac:dyDescent="0.35">
      <c r="B25" s="70"/>
      <c r="C25" s="71"/>
      <c r="D25" s="92"/>
      <c r="E25" s="74" t="s">
        <v>14</v>
      </c>
      <c r="F25" s="74"/>
      <c r="G25" s="74"/>
      <c r="H25" s="93"/>
      <c r="I25" s="40">
        <f>SUM(I19:I23)</f>
        <v>0</v>
      </c>
      <c r="J25" s="39">
        <f>SUM(J19:J24)</f>
        <v>62174</v>
      </c>
    </row>
    <row r="26" spans="2:10" x14ac:dyDescent="0.3">
      <c r="B26" s="51" t="s">
        <v>13</v>
      </c>
      <c r="C26" s="52"/>
      <c r="D26" s="53"/>
      <c r="E26" s="6"/>
      <c r="F26" s="77"/>
      <c r="G26" s="78"/>
      <c r="H26" s="78"/>
      <c r="I26" s="20"/>
      <c r="J26" s="41">
        <f>I26*$I$16</f>
        <v>0</v>
      </c>
    </row>
    <row r="27" spans="2:10" x14ac:dyDescent="0.3">
      <c r="B27" s="54"/>
      <c r="C27" s="55"/>
      <c r="D27" s="56"/>
      <c r="E27" s="5"/>
      <c r="F27" s="75"/>
      <c r="G27" s="76"/>
      <c r="H27" s="76"/>
      <c r="I27" s="13"/>
      <c r="J27" s="44">
        <f t="shared" ref="J27:J30" si="2">I27*$I$16</f>
        <v>0</v>
      </c>
    </row>
    <row r="28" spans="2:10" x14ac:dyDescent="0.3">
      <c r="B28" s="54"/>
      <c r="C28" s="55"/>
      <c r="D28" s="56"/>
      <c r="E28" s="5"/>
      <c r="F28" s="75"/>
      <c r="G28" s="76"/>
      <c r="H28" s="76"/>
      <c r="I28" s="13"/>
      <c r="J28" s="44">
        <f t="shared" si="2"/>
        <v>0</v>
      </c>
    </row>
    <row r="29" spans="2:10" x14ac:dyDescent="0.3">
      <c r="B29" s="54"/>
      <c r="C29" s="55"/>
      <c r="D29" s="56"/>
      <c r="E29" s="5"/>
      <c r="F29" s="75"/>
      <c r="G29" s="76"/>
      <c r="H29" s="76"/>
      <c r="I29" s="13"/>
      <c r="J29" s="44">
        <f t="shared" si="2"/>
        <v>0</v>
      </c>
    </row>
    <row r="30" spans="2:10" x14ac:dyDescent="0.3">
      <c r="B30" s="54"/>
      <c r="C30" s="55"/>
      <c r="D30" s="56"/>
      <c r="E30" s="5"/>
      <c r="F30" s="75"/>
      <c r="G30" s="76"/>
      <c r="H30" s="76"/>
      <c r="I30" s="13"/>
      <c r="J30" s="44">
        <f t="shared" si="2"/>
        <v>0</v>
      </c>
    </row>
    <row r="31" spans="2:10" ht="15" thickBot="1" x14ac:dyDescent="0.35">
      <c r="B31" s="57"/>
      <c r="C31" s="58"/>
      <c r="D31" s="59"/>
      <c r="E31" s="94" t="s">
        <v>12</v>
      </c>
      <c r="F31" s="95"/>
      <c r="G31" s="95"/>
      <c r="H31" s="95"/>
      <c r="I31" s="43">
        <f>SUM(I26:I30)</f>
        <v>0</v>
      </c>
      <c r="J31" s="37">
        <f>SUM(J26:J30)</f>
        <v>0</v>
      </c>
    </row>
    <row r="32" spans="2:10" x14ac:dyDescent="0.3">
      <c r="B32" s="64" t="s">
        <v>11</v>
      </c>
      <c r="C32" s="65"/>
      <c r="D32" s="66"/>
      <c r="E32" s="6"/>
      <c r="F32" s="77" t="s">
        <v>40</v>
      </c>
      <c r="G32" s="78"/>
      <c r="H32" s="78"/>
      <c r="I32" s="24"/>
      <c r="J32" s="41">
        <v>59199</v>
      </c>
    </row>
    <row r="33" spans="2:10" x14ac:dyDescent="0.3">
      <c r="B33" s="67"/>
      <c r="C33" s="68"/>
      <c r="D33" s="69"/>
      <c r="E33" s="5"/>
      <c r="F33" s="75" t="s">
        <v>41</v>
      </c>
      <c r="G33" s="76"/>
      <c r="H33" s="76"/>
      <c r="I33" s="21">
        <v>30</v>
      </c>
      <c r="J33" s="44">
        <f t="shared" ref="J33:J36" si="3">I33*$I$16</f>
        <v>131448.6</v>
      </c>
    </row>
    <row r="34" spans="2:10" x14ac:dyDescent="0.3">
      <c r="B34" s="67"/>
      <c r="C34" s="68"/>
      <c r="D34" s="69"/>
      <c r="E34" s="5"/>
      <c r="F34" s="75"/>
      <c r="G34" s="76"/>
      <c r="H34" s="76"/>
      <c r="I34" s="21"/>
      <c r="J34" s="44">
        <f t="shared" si="3"/>
        <v>0</v>
      </c>
    </row>
    <row r="35" spans="2:10" x14ac:dyDescent="0.3">
      <c r="B35" s="67"/>
      <c r="C35" s="68"/>
      <c r="D35" s="69"/>
      <c r="E35" s="5"/>
      <c r="F35" s="75"/>
      <c r="G35" s="76"/>
      <c r="H35" s="76"/>
      <c r="I35" s="21"/>
      <c r="J35" s="44">
        <f t="shared" si="3"/>
        <v>0</v>
      </c>
    </row>
    <row r="36" spans="2:10" x14ac:dyDescent="0.3">
      <c r="B36" s="67"/>
      <c r="C36" s="68"/>
      <c r="D36" s="69"/>
      <c r="E36" s="5"/>
      <c r="F36" s="75"/>
      <c r="G36" s="76"/>
      <c r="H36" s="76"/>
      <c r="I36" s="21"/>
      <c r="J36" s="44">
        <f t="shared" si="3"/>
        <v>0</v>
      </c>
    </row>
    <row r="37" spans="2:10" ht="15" thickBot="1" x14ac:dyDescent="0.35">
      <c r="B37" s="70"/>
      <c r="C37" s="71" t="s">
        <v>10</v>
      </c>
      <c r="D37" s="72"/>
      <c r="E37" s="73" t="s">
        <v>9</v>
      </c>
      <c r="F37" s="74"/>
      <c r="G37" s="74"/>
      <c r="H37" s="74"/>
      <c r="I37" s="40">
        <f>SUM(I32:I36)</f>
        <v>30</v>
      </c>
      <c r="J37" s="39">
        <f>SUM(J32:J36)</f>
        <v>190647.6</v>
      </c>
    </row>
    <row r="38" spans="2:10" x14ac:dyDescent="0.3">
      <c r="B38" s="51" t="s">
        <v>8</v>
      </c>
      <c r="C38" s="52"/>
      <c r="D38" s="53"/>
      <c r="E38" s="46"/>
      <c r="F38" s="49"/>
      <c r="G38" s="49"/>
      <c r="H38" s="49"/>
      <c r="I38" s="24"/>
      <c r="J38" s="41">
        <f>I38*$I$16</f>
        <v>0</v>
      </c>
    </row>
    <row r="39" spans="2:10" x14ac:dyDescent="0.3">
      <c r="B39" s="54"/>
      <c r="C39" s="55"/>
      <c r="D39" s="56"/>
      <c r="E39" s="47"/>
      <c r="F39" s="50"/>
      <c r="G39" s="50"/>
      <c r="H39" s="50"/>
      <c r="I39" s="21"/>
      <c r="J39" s="42">
        <f t="shared" ref="J39:J42" si="4">I39*$I$16</f>
        <v>0</v>
      </c>
    </row>
    <row r="40" spans="2:10" x14ac:dyDescent="0.3">
      <c r="B40" s="54"/>
      <c r="C40" s="55"/>
      <c r="D40" s="56"/>
      <c r="E40" s="47"/>
      <c r="F40" s="50"/>
      <c r="G40" s="50"/>
      <c r="H40" s="50"/>
      <c r="I40" s="21"/>
      <c r="J40" s="42">
        <f t="shared" si="4"/>
        <v>0</v>
      </c>
    </row>
    <row r="41" spans="2:10" x14ac:dyDescent="0.3">
      <c r="B41" s="54"/>
      <c r="C41" s="55"/>
      <c r="D41" s="56"/>
      <c r="E41" s="47"/>
      <c r="F41" s="50"/>
      <c r="G41" s="50"/>
      <c r="H41" s="50"/>
      <c r="I41" s="21"/>
      <c r="J41" s="42">
        <f t="shared" si="4"/>
        <v>0</v>
      </c>
    </row>
    <row r="42" spans="2:10" x14ac:dyDescent="0.3">
      <c r="B42" s="54"/>
      <c r="C42" s="55"/>
      <c r="D42" s="56"/>
      <c r="E42" s="47"/>
      <c r="F42" s="50"/>
      <c r="G42" s="50"/>
      <c r="H42" s="50"/>
      <c r="I42" s="21"/>
      <c r="J42" s="42">
        <f t="shared" si="4"/>
        <v>0</v>
      </c>
    </row>
    <row r="43" spans="2:10" ht="15" thickBot="1" x14ac:dyDescent="0.35">
      <c r="B43" s="57"/>
      <c r="C43" s="58"/>
      <c r="D43" s="59"/>
      <c r="E43" s="95" t="s">
        <v>7</v>
      </c>
      <c r="F43" s="95"/>
      <c r="G43" s="95"/>
      <c r="H43" s="95"/>
      <c r="I43" s="36">
        <f>SUM(I38:I42)</f>
        <v>0</v>
      </c>
      <c r="J43" s="37">
        <f>SUM(J38:J42)</f>
        <v>0</v>
      </c>
    </row>
    <row r="44" spans="2:10" ht="15" thickBot="1" x14ac:dyDescent="0.35">
      <c r="B44" s="98" t="s">
        <v>6</v>
      </c>
      <c r="C44" s="99"/>
      <c r="D44" s="100"/>
      <c r="E44" s="28"/>
      <c r="F44" s="29"/>
      <c r="G44" s="29"/>
      <c r="H44" s="29"/>
      <c r="I44" s="35">
        <f>SUM(I25,I31,I37,I43)</f>
        <v>30</v>
      </c>
      <c r="J44" s="38">
        <f>SUM(J25,J31,J37,J43)</f>
        <v>252821.6</v>
      </c>
    </row>
    <row r="45" spans="2:10" ht="15" thickBot="1" x14ac:dyDescent="0.35">
      <c r="B45" s="107" t="s">
        <v>5</v>
      </c>
      <c r="C45" s="108"/>
      <c r="D45" s="108"/>
      <c r="E45" s="108"/>
      <c r="F45" s="108"/>
      <c r="G45" s="108"/>
      <c r="H45" s="108"/>
      <c r="I45" s="33"/>
      <c r="J45" s="34">
        <v>299080</v>
      </c>
    </row>
    <row r="46" spans="2:10" ht="15" thickBot="1" x14ac:dyDescent="0.35">
      <c r="B46" s="101" t="s">
        <v>4</v>
      </c>
      <c r="C46" s="102"/>
      <c r="D46" s="103"/>
      <c r="E46" s="104"/>
      <c r="F46" s="104"/>
      <c r="G46" s="104"/>
      <c r="H46" s="104"/>
      <c r="I46" s="22" t="s">
        <v>3</v>
      </c>
      <c r="J46" s="19" t="s">
        <v>2</v>
      </c>
    </row>
    <row r="47" spans="2:10" x14ac:dyDescent="0.3">
      <c r="B47" s="16" t="s">
        <v>1</v>
      </c>
      <c r="C47" s="17"/>
      <c r="D47" s="18"/>
      <c r="E47" s="105"/>
      <c r="F47" s="106"/>
      <c r="G47" s="106"/>
      <c r="H47" s="106"/>
      <c r="I47" s="30"/>
      <c r="J47" s="31">
        <f>-IF(J45&gt;J44,J44-J45,0)</f>
        <v>46258.399999999994</v>
      </c>
    </row>
    <row r="48" spans="2:10" ht="15" thickBot="1" x14ac:dyDescent="0.35">
      <c r="B48" s="2" t="s">
        <v>0</v>
      </c>
      <c r="C48" s="3"/>
      <c r="D48" s="4"/>
      <c r="E48" s="96"/>
      <c r="F48" s="97"/>
      <c r="G48" s="97"/>
      <c r="H48" s="97"/>
      <c r="I48" s="32"/>
      <c r="J48" s="31">
        <f>+IF(J45&lt;J44,J44-J45,0)</f>
        <v>0</v>
      </c>
    </row>
    <row r="49" s="25" customFormat="1" x14ac:dyDescent="0.3"/>
  </sheetData>
  <sheetProtection formatCells="0" formatRows="0" insertRows="0"/>
  <mergeCells count="56">
    <mergeCell ref="C13:J13"/>
    <mergeCell ref="B14:J14"/>
    <mergeCell ref="B2:C9"/>
    <mergeCell ref="B11:C11"/>
    <mergeCell ref="D11:J11"/>
    <mergeCell ref="C12:J12"/>
    <mergeCell ref="I9:J9"/>
    <mergeCell ref="I8:J8"/>
    <mergeCell ref="I2:J2"/>
    <mergeCell ref="I3:J3"/>
    <mergeCell ref="I6:J6"/>
    <mergeCell ref="I7:J7"/>
    <mergeCell ref="D2:H5"/>
    <mergeCell ref="D6:H9"/>
    <mergeCell ref="I4:J4"/>
    <mergeCell ref="I5:J5"/>
    <mergeCell ref="E48:H48"/>
    <mergeCell ref="B44:D44"/>
    <mergeCell ref="B46:D46"/>
    <mergeCell ref="F41:H41"/>
    <mergeCell ref="F42:H42"/>
    <mergeCell ref="E46:H46"/>
    <mergeCell ref="E47:H47"/>
    <mergeCell ref="E43:H43"/>
    <mergeCell ref="B45:H45"/>
    <mergeCell ref="C15:J15"/>
    <mergeCell ref="F23:H23"/>
    <mergeCell ref="F28:H28"/>
    <mergeCell ref="F21:H21"/>
    <mergeCell ref="B26:D31"/>
    <mergeCell ref="C16:G16"/>
    <mergeCell ref="F26:H26"/>
    <mergeCell ref="F27:H27"/>
    <mergeCell ref="F29:H29"/>
    <mergeCell ref="F18:H18"/>
    <mergeCell ref="F19:H19"/>
    <mergeCell ref="F20:H20"/>
    <mergeCell ref="F22:H22"/>
    <mergeCell ref="B19:D25"/>
    <mergeCell ref="E25:H25"/>
    <mergeCell ref="E31:H31"/>
    <mergeCell ref="F38:H38"/>
    <mergeCell ref="F39:H39"/>
    <mergeCell ref="B38:D43"/>
    <mergeCell ref="F40:H40"/>
    <mergeCell ref="I16:J16"/>
    <mergeCell ref="B18:D18"/>
    <mergeCell ref="B32:D37"/>
    <mergeCell ref="E37:H37"/>
    <mergeCell ref="F35:H35"/>
    <mergeCell ref="F36:H36"/>
    <mergeCell ref="F30:H30"/>
    <mergeCell ref="F32:H32"/>
    <mergeCell ref="F33:H33"/>
    <mergeCell ref="F34:H34"/>
    <mergeCell ref="F24:H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horizontalDpi="300" verticalDpi="300" r:id="rId1"/>
  <colBreaks count="1" manualBreakCount="1">
    <brk id="10" max="39" man="1"/>
  </col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63DE2B32CC3D419AB132D862068E66" ma:contentTypeVersion="14" ma:contentTypeDescription="Crear nuevo documento." ma:contentTypeScope="" ma:versionID="9d784c77f88ac181cc17c8b5727e2247">
  <xsd:schema xmlns:xsd="http://www.w3.org/2001/XMLSchema" xmlns:xs="http://www.w3.org/2001/XMLSchema" xmlns:p="http://schemas.microsoft.com/office/2006/metadata/properties" xmlns:ns2="6aca2541-350f-4507-ae68-ccb1ea0f4508" xmlns:ns3="9279e89c-25d0-4775-aa38-4da4ca32ca08" targetNamespace="http://schemas.microsoft.com/office/2006/metadata/properties" ma:root="true" ma:fieldsID="b2697738b7bd14a383701ea5689b8973" ns2:_="" ns3:_="">
    <xsd:import namespace="6aca2541-350f-4507-ae68-ccb1ea0f4508"/>
    <xsd:import namespace="9279e89c-25d0-4775-aa38-4da4ca32ca0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a2541-350f-4507-ae68-ccb1ea0f450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9e89c-25d0-4775-aa38-4da4ca32c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52C71F-D68C-417E-8A4D-9A1B02939E3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A5992E-0EB8-4DC7-8797-A63F200084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712BA3-0190-48E9-9E54-94B2CF30E0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ca2541-350f-4507-ae68-ccb1ea0f4508"/>
    <ds:schemaRef ds:uri="9279e89c-25d0-4775-aa38-4da4ca32ca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Legalización Internacional</vt:lpstr>
      <vt:lpstr>'Legalización Internacional'!Títulos_a_imprimir</vt:lpstr>
    </vt:vector>
  </TitlesOfParts>
  <Company>Windows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yoilin.machado</dc:creator>
  <cp:lastModifiedBy>harold perez</cp:lastModifiedBy>
  <cp:lastPrinted>2015-09-28T13:51:32Z</cp:lastPrinted>
  <dcterms:created xsi:type="dcterms:W3CDTF">2014-10-21T21:00:45Z</dcterms:created>
  <dcterms:modified xsi:type="dcterms:W3CDTF">2022-09-09T16:58:10Z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0x010100D763DE2B32CC3D419AB132D862068E66</vt:lpwstr>
  </property>
</Properties>
</file>